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2ab479d77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" sheetId="1" r:id="Rc4acb6f7221a46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b0798a9f04535" /><Relationship Type="http://schemas.openxmlformats.org/officeDocument/2006/relationships/theme" Target="/xl/theme/theme1.xml" Id="Rdbcdacf57ce143b7" /><Relationship Type="http://schemas.openxmlformats.org/officeDocument/2006/relationships/sharedStrings" Target="/xl/sharedStrings.xml" Id="R0e383ff6a3b64160" /><Relationship Type="http://schemas.openxmlformats.org/officeDocument/2006/relationships/worksheet" Target="/xl/worksheets/sheet1.xml" Id="Rc4acb6f7221a46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5.130000114440918" hidden="0" customWidth="1"/>
    <x:col min="3" max="3" width="28.25" hidden="0" customWidth="1"/>
    <x:col min="4" max="4" width="7.380000114440918" hidden="0" customWidth="1"/>
    <x:col min="5" max="5" width="5.630000114440918" hidden="0" customWidth="1"/>
    <x:col min="6" max="6" width="6.630000114440918" hidden="0" customWidth="1"/>
    <x:col min="7" max="7" width="10.5" hidden="0" customWidth="1"/>
    <x:col min="8" max="8" width="10.75" hidden="0" customWidth="1"/>
    <x:col min="9" max="9" width="8.5" hidden="0" customWidth="1"/>
    <x:col min="10" max="10" width="8.130000114440918" hidden="0" customWidth="1"/>
    <x:col min="11" max="11" width="5" hidden="0" customWidth="1"/>
    <x:col min="12" max="12" width="8.880000114440918" hidden="0" customWidth="1"/>
    <x:col min="13" max="13" width="5.5" hidden="0" customWidth="1"/>
    <x:col min="14" max="14" width="5" hidden="0" customWidth="1"/>
  </x:cols>
  <x:sheetData>
    <x:row r="1">
      <x:c r="A1" s="7" t="str">
        <x:v>Market</x:v>
      </x:c>
      <x:c r="B1" s="7" t="str">
        <x:v>Ticker</x:v>
      </x:c>
      <x:c r="C1" s="7" t="str">
        <x:v>Name</x:v>
      </x:c>
      <x:c r="D1" s="7" t="str">
        <x:v>Category</x:v>
      </x:c>
      <x:c r="E1" s="7" t="str">
        <x:v>Shares</x:v>
      </x:c>
      <x:c r="F1" s="7" t="str">
        <x:v>Cost</x:v>
      </x:c>
      <x:c r="G1" s="7" t="str">
        <x:v>Current Price</x:v>
      </x:c>
      <x:c r="H1" s="7" t="str">
        <x:v>Market Value</x:v>
      </x:c>
      <x:c r="I1" s="7" t="str">
        <x:v>Cost Value</x:v>
      </x:c>
      <x:c r="J1" s="7" t="str">
        <x:v>PnL</x:v>
      </x:c>
      <x:c r="K1" s="7" t="str">
        <x:v>PnL %</x:v>
      </x:c>
      <x:c r="L1" s="7" t="str">
        <x:v>LIOS Grade</x:v>
      </x:c>
      <x:c r="M1" s="7" t="str">
        <x:v>Action</x:v>
      </x:c>
      <x:c r="N1" s="7" t="str">
        <x:v>Notes</x:v>
      </x:c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t="str">
        <x:v>TW</x:v>
      </x:c>
      <x:c r="B2" t="str">
        <x:v>0050</x:v>
      </x:c>
      <x:c r="C2" t="str">
        <x:v>元大台灣50</x:v>
      </x:c>
      <x:c r="D2" t="str">
        <x:v>核心</x:v>
      </x:c>
      <x:c r="E2" t="n">
        <x:v>602</x:v>
      </x:c>
      <x:c r="F2" s="2" t="n">
        <x:v>103.23</x:v>
      </x:c>
      <x:c r="G2" s="2" t="str"/>
      <x:c r="H2" s="2" t="n">
        <x:f>E2*G2</x:f>
        <x:v>0</x:v>
      </x:c>
      <x:c r="I2" s="2" t="n">
        <x:f>E2*F2</x:f>
        <x:v>62144.46</x:v>
      </x:c>
      <x:c r="J2" s="2" t="n">
        <x:f>H2-I2</x:f>
        <x:v>-62144.46</x:v>
      </x:c>
      <x:c r="K2" s="2" t="n">
        <x:f>IF(I2=0,"",J2/I2)</x:f>
        <x:v>-1</x:v>
      </x:c>
      <x:c r="L2" t="str"/>
      <x:c r="M2" t="str"/>
      <x:c r="N2" t="str"/>
    </x:row>
    <x:row r="3">
      <x:c r="A3" t="str">
        <x:v>TW</x:v>
      </x:c>
      <x:c r="B3" t="str">
        <x:v>2330</x:v>
      </x:c>
      <x:c r="C3" t="str">
        <x:v>台積電</x:v>
      </x:c>
      <x:c r="D3" t="str">
        <x:v>核心</x:v>
      </x:c>
      <x:c r="E3" t="n">
        <x:v>40</x:v>
      </x:c>
      <x:c r="F3" s="2" t="n">
        <x:v>2362.05</x:v>
      </x:c>
      <x:c r="G3" s="2" t="str"/>
      <x:c r="H3" s="2" t="n">
        <x:f>E3*G3</x:f>
        <x:v>0</x:v>
      </x:c>
      <x:c r="I3" s="2" t="n">
        <x:f>E3*F3</x:f>
        <x:v>94482</x:v>
      </x:c>
      <x:c r="J3" s="2" t="n">
        <x:f>H3-I3</x:f>
        <x:v>-94482</x:v>
      </x:c>
      <x:c r="K3" s="2" t="n">
        <x:f>IF(I3=0,"",J3/I3)</x:f>
        <x:v>-1</x:v>
      </x:c>
      <x:c r="L3" t="str"/>
      <x:c r="M3" t="str"/>
      <x:c r="N3" t="str"/>
    </x:row>
    <x:row r="4">
      <x:c r="A4" t="str">
        <x:v>TW</x:v>
      </x:c>
      <x:c r="B4" t="str">
        <x:v>2308</x:v>
      </x:c>
      <x:c r="C4" t="str">
        <x:v>台達電</x:v>
      </x:c>
      <x:c r="D4" t="str">
        <x:v>波段</x:v>
      </x:c>
      <x:c r="E4" t="n">
        <x:v>13</x:v>
      </x:c>
      <x:c r="F4" s="2" t="n">
        <x:v>2023.15</x:v>
      </x:c>
      <x:c r="G4" s="2" t="str"/>
      <x:c r="H4" s="2" t="n">
        <x:f>E4*G4</x:f>
        <x:v>0</x:v>
      </x:c>
      <x:c r="I4" s="2" t="n">
        <x:f>E4*F4</x:f>
        <x:v>26300.95</x:v>
      </x:c>
      <x:c r="J4" s="2" t="n">
        <x:f>H4-I4</x:f>
        <x:v>-26300.95</x:v>
      </x:c>
      <x:c r="K4" s="2" t="n">
        <x:f>IF(I4=0,"",J4/I4)</x:f>
        <x:v>-1</x:v>
      </x:c>
      <x:c r="L4" t="str"/>
      <x:c r="M4" t="str"/>
      <x:c r="N4" t="str"/>
    </x:row>
    <x:row r="5">
      <x:c r="A5" t="str">
        <x:v>TW</x:v>
      </x:c>
      <x:c r="B5" t="str">
        <x:v>2303</x:v>
      </x:c>
      <x:c r="C5" t="str">
        <x:v>聯電</x:v>
      </x:c>
      <x:c r="D5" t="str">
        <x:v>波段</x:v>
      </x:c>
      <x:c r="E5" t="n">
        <x:v>60</x:v>
      </x:c>
      <x:c r="F5" s="2" t="n">
        <x:v>171.63</x:v>
      </x:c>
      <x:c r="G5" s="2" t="str"/>
      <x:c r="H5" s="2" t="n">
        <x:f>E5*G5</x:f>
        <x:v>0</x:v>
      </x:c>
      <x:c r="I5" s="2" t="n">
        <x:f>E5*F5</x:f>
        <x:v>10297.8</x:v>
      </x:c>
      <x:c r="J5" s="2" t="n">
        <x:f>H5-I5</x:f>
        <x:v>-10297.8</x:v>
      </x:c>
      <x:c r="K5" s="2" t="n">
        <x:f>IF(I5=0,"",J5/I5)</x:f>
        <x:v>-1</x:v>
      </x:c>
      <x:c r="L5" t="str"/>
      <x:c r="M5" t="str"/>
      <x:c r="N5" t="str"/>
    </x:row>
    <x:row r="6">
      <x:c r="A6" t="str">
        <x:v>TW</x:v>
      </x:c>
      <x:c r="B6" t="str">
        <x:v>2317</x:v>
      </x:c>
      <x:c r="C6" t="str">
        <x:v>鴻海</x:v>
      </x:c>
      <x:c r="D6" t="str">
        <x:v>波段</x:v>
      </x:c>
      <x:c r="E6" t="n">
        <x:v>1</x:v>
      </x:c>
      <x:c r="F6" s="2" t="n">
        <x:v>251</x:v>
      </x:c>
      <x:c r="G6" s="2" t="str"/>
      <x:c r="H6" s="2" t="n">
        <x:f>E6*G6</x:f>
        <x:v>0</x:v>
      </x:c>
      <x:c r="I6" s="2" t="n">
        <x:f>E6*F6</x:f>
        <x:v>251</x:v>
      </x:c>
      <x:c r="J6" s="2" t="n">
        <x:f>H6-I6</x:f>
        <x:v>-251</x:v>
      </x:c>
      <x:c r="K6" s="2" t="n">
        <x:f>IF(I6=0,"",J6/I6)</x:f>
        <x:v>-1</x:v>
      </x:c>
      <x:c r="L6" t="str"/>
      <x:c r="M6" t="str"/>
      <x:c r="N6" t="str"/>
    </x:row>
    <x:row r="7">
      <x:c r="A7" t="str">
        <x:v>TW</x:v>
      </x:c>
      <x:c r="B7" t="str">
        <x:v>2327</x:v>
      </x:c>
      <x:c r="C7" t="str">
        <x:v>國巨</x:v>
      </x:c>
      <x:c r="D7" t="str">
        <x:v>波段</x:v>
      </x:c>
      <x:c r="E7" t="n">
        <x:v>34</x:v>
      </x:c>
      <x:c r="F7" s="2" t="n">
        <x:v>1087.94</x:v>
      </x:c>
      <x:c r="G7" s="2" t="str"/>
      <x:c r="H7" s="2" t="n">
        <x:f>E7*G7</x:f>
        <x:v>0</x:v>
      </x:c>
      <x:c r="I7" s="2" t="n">
        <x:f>E7*F7</x:f>
        <x:v>36989.96</x:v>
      </x:c>
      <x:c r="J7" s="2" t="n">
        <x:f>H7-I7</x:f>
        <x:v>-36989.96</x:v>
      </x:c>
      <x:c r="K7" s="2" t="n">
        <x:f>IF(I7=0,"",J7/I7)</x:f>
        <x:v>-1</x:v>
      </x:c>
      <x:c r="L7" t="str"/>
      <x:c r="M7" t="str"/>
      <x:c r="N7" t="str"/>
    </x:row>
    <x:row r="8">
      <x:c r="A8" t="str">
        <x:v>TW</x:v>
      </x:c>
      <x:c r="B8" t="str">
        <x:v>2454</x:v>
      </x:c>
      <x:c r="C8" t="str">
        <x:v>聯發科</x:v>
      </x:c>
      <x:c r="D8" t="str">
        <x:v>波段</x:v>
      </x:c>
      <x:c r="E8" t="n">
        <x:v>1</x:v>
      </x:c>
      <x:c r="F8" s="2" t="n">
        <x:v>4358</x:v>
      </x:c>
      <x:c r="G8" s="2" t="str"/>
      <x:c r="H8" s="2" t="n">
        <x:f>E8*G8</x:f>
        <x:v>0</x:v>
      </x:c>
      <x:c r="I8" s="2" t="n">
        <x:f>E8*F8</x:f>
        <x:v>4358</x:v>
      </x:c>
      <x:c r="J8" s="2" t="n">
        <x:f>H8-I8</x:f>
        <x:v>-4358</x:v>
      </x:c>
      <x:c r="K8" s="2" t="n">
        <x:f>IF(I8=0,"",J8/I8)</x:f>
        <x:v>-1</x:v>
      </x:c>
      <x:c r="L8" t="str"/>
      <x:c r="M8" t="str"/>
      <x:c r="N8" t="str"/>
    </x:row>
    <x:row r="9">
      <x:c r="A9" t="str">
        <x:v>TW</x:v>
      </x:c>
      <x:c r="B9" t="str">
        <x:v>2404</x:v>
      </x:c>
      <x:c r="C9" t="str">
        <x:v>漢唐</x:v>
      </x:c>
      <x:c r="D9" t="str">
        <x:v>波段</x:v>
      </x:c>
      <x:c r="E9" t="n">
        <x:v>50</x:v>
      </x:c>
      <x:c r="F9" s="2" t="n">
        <x:v>1389.14</x:v>
      </x:c>
      <x:c r="G9" s="2" t="str"/>
      <x:c r="H9" s="2" t="n">
        <x:f>E9*G9</x:f>
        <x:v>0</x:v>
      </x:c>
      <x:c r="I9" s="2" t="n">
        <x:f>E9*F9</x:f>
        <x:v>69457</x:v>
      </x:c>
      <x:c r="J9" s="2" t="n">
        <x:f>H9-I9</x:f>
        <x:v>-69457</x:v>
      </x:c>
      <x:c r="K9" s="2" t="n">
        <x:f>IF(I9=0,"",J9/I9)</x:f>
        <x:v>-1</x:v>
      </x:c>
      <x:c r="L9" t="str"/>
      <x:c r="M9" t="str"/>
      <x:c r="N9" t="str"/>
    </x:row>
    <x:row r="10">
      <x:c r="A10" t="str">
        <x:v>TW</x:v>
      </x:c>
      <x:c r="B10" t="str">
        <x:v>3026</x:v>
      </x:c>
      <x:c r="C10" t="str">
        <x:v>禾伸堂</x:v>
      </x:c>
      <x:c r="D10" t="str">
        <x:v>波段</x:v>
      </x:c>
      <x:c r="E10" t="n">
        <x:v>25</x:v>
      </x:c>
      <x:c r="F10" s="2" t="n">
        <x:v>887.52</x:v>
      </x:c>
      <x:c r="G10" s="2" t="str"/>
      <x:c r="H10" s="2" t="n">
        <x:f>E10*G10</x:f>
        <x:v>0</x:v>
      </x:c>
      <x:c r="I10" s="2" t="n">
        <x:f>E10*F10</x:f>
        <x:v>22188</x:v>
      </x:c>
      <x:c r="J10" s="2" t="n">
        <x:f>H10-I10</x:f>
        <x:v>-22188</x:v>
      </x:c>
      <x:c r="K10" s="2" t="n">
        <x:f>IF(I10=0,"",J10/I10)</x:f>
        <x:v>-1</x:v>
      </x:c>
      <x:c r="L10" t="str"/>
      <x:c r="M10" t="str"/>
      <x:c r="N10" t="str"/>
    </x:row>
    <x:row r="11">
      <x:c r="A11" t="str">
        <x:v>TW</x:v>
      </x:c>
      <x:c r="B11" t="str">
        <x:v>3037</x:v>
      </x:c>
      <x:c r="C11" t="str">
        <x:v>欣興</x:v>
      </x:c>
      <x:c r="D11" t="str">
        <x:v>波段</x:v>
      </x:c>
      <x:c r="E11" t="n">
        <x:v>22</x:v>
      </x:c>
      <x:c r="F11" s="2" t="n">
        <x:v>1086.82</x:v>
      </x:c>
      <x:c r="G11" s="2" t="str"/>
      <x:c r="H11" s="2" t="n">
        <x:f>E11*G11</x:f>
        <x:v>0</x:v>
      </x:c>
      <x:c r="I11" s="2" t="n">
        <x:f>E11*F11</x:f>
        <x:v>23910.039999999997</x:v>
      </x:c>
      <x:c r="J11" s="2" t="n">
        <x:f>H11-I11</x:f>
        <x:v>-23910.039999999997</x:v>
      </x:c>
      <x:c r="K11" s="2" t="n">
        <x:f>IF(I11=0,"",J11/I11)</x:f>
        <x:v>-1</x:v>
      </x:c>
      <x:c r="L11" t="str"/>
      <x:c r="M11" t="str"/>
      <x:c r="N11" t="str"/>
    </x:row>
    <x:row r="12">
      <x:c r="A12" t="str">
        <x:v>TW</x:v>
      </x:c>
      <x:c r="B12" t="str">
        <x:v>3189</x:v>
      </x:c>
      <x:c r="C12" t="str">
        <x:v>景碩</x:v>
      </x:c>
      <x:c r="D12" t="str">
        <x:v>波段</x:v>
      </x:c>
      <x:c r="E12" t="n">
        <x:v>34</x:v>
      </x:c>
      <x:c r="F12" s="2" t="n">
        <x:v>882.91</x:v>
      </x:c>
      <x:c r="G12" s="2" t="str"/>
      <x:c r="H12" s="2" t="n">
        <x:f>E12*G12</x:f>
        <x:v>0</x:v>
      </x:c>
      <x:c r="I12" s="2" t="n">
        <x:f>E12*F12</x:f>
        <x:v>30018.94</x:v>
      </x:c>
      <x:c r="J12" s="2" t="n">
        <x:f>H12-I12</x:f>
        <x:v>-30018.94</x:v>
      </x:c>
      <x:c r="K12" s="2" t="n">
        <x:f>IF(I12=0,"",J12/I12)</x:f>
        <x:v>-1</x:v>
      </x:c>
      <x:c r="L12" t="str"/>
      <x:c r="M12" t="str"/>
      <x:c r="N12" t="str"/>
    </x:row>
    <x:row r="13">
      <x:c r="A13" t="str">
        <x:v>TW</x:v>
      </x:c>
      <x:c r="B13" t="str">
        <x:v>6116</x:v>
      </x:c>
      <x:c r="C13" t="str">
        <x:v>彩晶</x:v>
      </x:c>
      <x:c r="D13" t="str">
        <x:v>觀察</x:v>
      </x:c>
      <x:c r="E13" t="n">
        <x:v>1000</x:v>
      </x:c>
      <x:c r="F13" s="2" t="n">
        <x:v>20.27</x:v>
      </x:c>
      <x:c r="G13" s="2" t="str"/>
      <x:c r="H13" s="2" t="n">
        <x:f>E13*G13</x:f>
        <x:v>0</x:v>
      </x:c>
      <x:c r="I13" s="2" t="n">
        <x:f>E13*F13</x:f>
        <x:v>20270</x:v>
      </x:c>
      <x:c r="J13" s="2" t="n">
        <x:f>H13-I13</x:f>
        <x:v>-20270</x:v>
      </x:c>
      <x:c r="K13" s="2" t="n">
        <x:f>IF(I13=0,"",J13/I13)</x:f>
        <x:v>-1</x:v>
      </x:c>
      <x:c r="L13" t="str"/>
      <x:c r="M13" t="str"/>
      <x:c r="N13" t="str"/>
    </x:row>
    <x:row r="14">
      <x:c r="A14" t="str">
        <x:v>TW</x:v>
      </x:c>
      <x:c r="B14" t="str">
        <x:v>8046</x:v>
      </x:c>
      <x:c r="C14" t="str">
        <x:v>南電</x:v>
      </x:c>
      <x:c r="D14" t="str">
        <x:v>波段</x:v>
      </x:c>
      <x:c r="E14" t="n">
        <x:v>40</x:v>
      </x:c>
      <x:c r="F14" s="2" t="n">
        <x:v>1120.95</x:v>
      </x:c>
      <x:c r="G14" s="2" t="str"/>
      <x:c r="H14" s="2" t="n">
        <x:f>E14*G14</x:f>
        <x:v>0</x:v>
      </x:c>
      <x:c r="I14" s="2" t="n">
        <x:f>E14*F14</x:f>
        <x:v>44838</x:v>
      </x:c>
      <x:c r="J14" s="2" t="n">
        <x:f>H14-I14</x:f>
        <x:v>-44838</x:v>
      </x:c>
      <x:c r="K14" s="2" t="n">
        <x:f>IF(I14=0,"",J14/I14)</x:f>
        <x:v>-1</x:v>
      </x:c>
      <x:c r="L14" t="str"/>
      <x:c r="M14" t="str"/>
      <x:c r="N14" t="str"/>
    </x:row>
    <x:row r="15">
      <x:c r="A15" t="str">
        <x:v>TW</x:v>
      </x:c>
      <x:c r="B15" t="str">
        <x:v>8040?</x:v>
      </x:c>
      <x:c r="C15" t="str">
        <x:v>九暘</x:v>
      </x:c>
      <x:c r="D15" t="str">
        <x:v>波段</x:v>
      </x:c>
      <x:c r="E15" t="n">
        <x:v>5</x:v>
      </x:c>
      <x:c r="F15" s="2" t="n">
        <x:v>103.2</x:v>
      </x:c>
      <x:c r="G15" s="2" t="str"/>
      <x:c r="H15" s="2" t="n">
        <x:f>E15*G15</x:f>
        <x:v>0</x:v>
      </x:c>
      <x:c r="I15" s="2" t="n">
        <x:f>E15*F15</x:f>
        <x:v>516</x:v>
      </x:c>
      <x:c r="J15" s="2" t="n">
        <x:f>H15-I15</x:f>
        <x:v>-516</x:v>
      </x:c>
      <x:c r="K15" s="2" t="n">
        <x:f>IF(I15=0,"",J15/I15)</x:f>
        <x:v>-1</x:v>
      </x:c>
      <x:c r="L15" t="str"/>
      <x:c r="M15" t="str"/>
      <x:c r="N15" t="str"/>
    </x:row>
    <x:row r="16">
      <x:c r="A16" t="str">
        <x:v>TW</x:v>
      </x:c>
      <x:c r="B16" t="str">
        <x:v>8299</x:v>
      </x:c>
      <x:c r="C16" t="str">
        <x:v>群聯</x:v>
      </x:c>
      <x:c r="D16" t="str">
        <x:v>波段</x:v>
      </x:c>
      <x:c r="E16" t="n">
        <x:v>4</x:v>
      </x:c>
      <x:c r="F16" s="2" t="n">
        <x:v>2342</x:v>
      </x:c>
      <x:c r="G16" s="2" t="str"/>
      <x:c r="H16" s="2" t="n">
        <x:f>E16*G16</x:f>
        <x:v>0</x:v>
      </x:c>
      <x:c r="I16" s="2" t="n">
        <x:f>E16*F16</x:f>
        <x:v>9368</x:v>
      </x:c>
      <x:c r="J16" s="2" t="n">
        <x:f>H16-I16</x:f>
        <x:v>-9368</x:v>
      </x:c>
      <x:c r="K16" s="2" t="n">
        <x:f>IF(I16=0,"",J16/I16)</x:f>
        <x:v>-1</x:v>
      </x:c>
      <x:c r="L16" t="str"/>
      <x:c r="M16" t="str"/>
      <x:c r="N16" t="str"/>
    </x:row>
    <x:row r="17">
      <x:c r="A17" t="str">
        <x:v>TW</x:v>
      </x:c>
      <x:c r="B17" t="str">
        <x:v>6682</x:v>
      </x:c>
      <x:c r="C17" t="str">
        <x:v>華旭先進</x:v>
      </x:c>
      <x:c r="D17" t="str">
        <x:v>觀察</x:v>
      </x:c>
      <x:c r="E17" t="n">
        <x:v>1000</x:v>
      </x:c>
      <x:c r="F17" s="2" t="n">
        <x:v>59.8</x:v>
      </x:c>
      <x:c r="G17" s="2" t="str"/>
      <x:c r="H17" s="2" t="n">
        <x:f>E17*G17</x:f>
        <x:v>0</x:v>
      </x:c>
      <x:c r="I17" s="2" t="n">
        <x:f>E17*F17</x:f>
        <x:v>59800</x:v>
      </x:c>
      <x:c r="J17" s="2" t="n">
        <x:f>H17-I17</x:f>
        <x:v>-59800</x:v>
      </x:c>
      <x:c r="K17" s="2" t="n">
        <x:f>IF(I17=0,"",J17/I17)</x:f>
        <x:v>-1</x:v>
      </x:c>
      <x:c r="L17" t="str"/>
      <x:c r="M17" t="str"/>
      <x:c r="N17" t="str"/>
    </x:row>
    <x:row r="18">
      <x:c r="A18" t="str">
        <x:v>US</x:v>
      </x:c>
      <x:c r="B18" t="str">
        <x:v>MSFT</x:v>
      </x:c>
      <x:c r="C18" t="str">
        <x:v>Microsoft</x:v>
      </x:c>
      <x:c r="D18" t="str">
        <x:v>核心</x:v>
      </x:c>
      <x:c r="E18" t="n">
        <x:v>6</x:v>
      </x:c>
      <x:c r="F18" s="2" t="n">
        <x:v>388.517</x:v>
      </x:c>
      <x:c r="G18" s="2" t="str"/>
      <x:c r="H18" s="2" t="n">
        <x:f>E18*G18</x:f>
        <x:v>0</x:v>
      </x:c>
      <x:c r="I18" s="2" t="n">
        <x:f>E18*F18</x:f>
        <x:v>2331.102</x:v>
      </x:c>
      <x:c r="J18" s="2" t="n">
        <x:f>H18-I18</x:f>
        <x:v>-2331.102</x:v>
      </x:c>
      <x:c r="K18" s="2" t="n">
        <x:f>IF(I18=0,"",J18/I18)</x:f>
        <x:v>-1</x:v>
      </x:c>
      <x:c r="L18" t="str"/>
      <x:c r="M18" t="str"/>
      <x:c r="N18" t="str"/>
    </x:row>
    <x:row r="19">
      <x:c r="A19" t="str">
        <x:v>US</x:v>
      </x:c>
      <x:c r="B19" t="str">
        <x:v>NVDA</x:v>
      </x:c>
      <x:c r="C19" t="str">
        <x:v>NVIDIA</x:v>
      </x:c>
      <x:c r="D19" t="str">
        <x:v>核心</x:v>
      </x:c>
      <x:c r="E19" t="n">
        <x:v>12</x:v>
      </x:c>
      <x:c r="F19" s="2" t="n">
        <x:v>198.87</x:v>
      </x:c>
      <x:c r="G19" s="2" t="str"/>
      <x:c r="H19" s="2" t="n">
        <x:f>E19*G19</x:f>
        <x:v>0</x:v>
      </x:c>
      <x:c r="I19" s="2" t="n">
        <x:f>E19*F19</x:f>
        <x:v>2386.44</x:v>
      </x:c>
      <x:c r="J19" s="2" t="n">
        <x:f>H19-I19</x:f>
        <x:v>-2386.44</x:v>
      </x:c>
      <x:c r="K19" s="2" t="n">
        <x:f>IF(I19=0,"",J19/I19)</x:f>
        <x:v>-1</x:v>
      </x:c>
      <x:c r="L19" t="str"/>
      <x:c r="M19" t="str"/>
      <x:c r="N19" t="str"/>
    </x:row>
    <x:row r="20">
      <x:c r="A20" t="str">
        <x:v>US</x:v>
      </x:c>
      <x:c r="B20" t="str">
        <x:v>SPCX</x:v>
      </x:c>
      <x:c r="C20" t="str">
        <x:v>Space Exploration Technologies Corp.</x:v>
      </x:c>
      <x:c r="D20" t="str">
        <x:v>成長</x:v>
      </x:c>
      <x:c r="E20" t="n">
        <x:v>10</x:v>
      </x:c>
      <x:c r="F20" s="2" t="n">
        <x:v>177.728</x:v>
      </x:c>
      <x:c r="G20" s="2" t="str"/>
      <x:c r="H20" s="2" t="n">
        <x:f>E20*G20</x:f>
        <x:v>0</x:v>
      </x:c>
      <x:c r="I20" s="2" t="n">
        <x:f>E20*F20</x:f>
        <x:v>1777.2800000000002</x:v>
      </x:c>
      <x:c r="J20" s="2" t="n">
        <x:f>H20-I20</x:f>
        <x:v>-1777.2800000000002</x:v>
      </x:c>
      <x:c r="K20" s="2" t="n">
        <x:f>IF(I20=0,"",J20/I20)</x:f>
        <x:v>-1</x:v>
      </x:c>
      <x:c r="L20" t="str"/>
      <x:c r="M20" t="str"/>
      <x:c r="N20" t="str"/>
    </x:row>
  </x:sheetData>
  <x:pageMargins left="0.7" right="0.7" top="0.75" bottom="0.75" header="0.3" footer="0.3"/>
</x:worksheet>
</file>